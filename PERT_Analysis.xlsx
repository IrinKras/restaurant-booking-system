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n\Desktop\"/>
    </mc:Choice>
  </mc:AlternateContent>
  <xr:revisionPtr revIDLastSave="0" documentId="13_ncr:1_{B5C6F74D-1AE0-4750-BCB9-517E50BD9531}" xr6:coauthVersionLast="47" xr6:coauthVersionMax="47" xr10:uidLastSave="{00000000-0000-0000-0000-000000000000}"/>
  <bookViews>
    <workbookView xWindow="-98" yWindow="-98" windowWidth="20715" windowHeight="13276" activeTab="3" xr2:uid="{B98A7C4D-5FF5-49A4-9794-11299A8D6CE5}"/>
  </bookViews>
  <sheets>
    <sheet name="PERT Оценки " sheetId="1" r:id="rId1"/>
    <sheet name="Критичен Път" sheetId="2" r:id="rId2"/>
    <sheet name="Вероятности" sheetId="3" r:id="rId3"/>
    <sheet name="Сравнение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6" i="3"/>
  <c r="C5" i="3"/>
  <c r="C4" i="3"/>
  <c r="C3" i="3"/>
  <c r="G4" i="1"/>
  <c r="G5" i="1"/>
  <c r="G6" i="1"/>
  <c r="G7" i="1"/>
  <c r="G8" i="1"/>
  <c r="G9" i="1"/>
  <c r="G10" i="1"/>
  <c r="G11" i="1"/>
  <c r="G12" i="1"/>
  <c r="G13" i="1"/>
  <c r="G14" i="1"/>
  <c r="G1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3" i="1"/>
</calcChain>
</file>

<file path=xl/sharedStrings.xml><?xml version="1.0" encoding="utf-8"?>
<sst xmlns="http://schemas.openxmlformats.org/spreadsheetml/2006/main" count="89" uniqueCount="77">
  <si>
    <t>ID</t>
  </si>
  <si>
    <t>Задача</t>
  </si>
  <si>
    <t>Оптимистична</t>
  </si>
  <si>
    <t>(O) дни</t>
  </si>
  <si>
    <t>Най-вероятна</t>
  </si>
  <si>
    <t>(M) дни</t>
  </si>
  <si>
    <t>Песимистична</t>
  </si>
  <si>
    <t>(P) дни</t>
  </si>
  <si>
    <t>Очаквано време</t>
  </si>
  <si>
    <t>(TE) дни</t>
  </si>
  <si>
    <t>Стандартно</t>
  </si>
  <si>
    <t>отклонение (σ)</t>
  </si>
  <si>
    <t>Вариация</t>
  </si>
  <si>
    <t>(σ²)</t>
  </si>
  <si>
    <t>Критична?</t>
  </si>
  <si>
    <t>Събиране на изисквания</t>
  </si>
  <si>
    <t>ДА</t>
  </si>
  <si>
    <t>Създаване на спецификация</t>
  </si>
  <si>
    <t>Планиране на архитектурата</t>
  </si>
  <si>
    <t>UI/UX дизайн</t>
  </si>
  <si>
    <t>НЕ</t>
  </si>
  <si>
    <t>Дизайн на база данни</t>
  </si>
  <si>
    <t>Frontend разработка</t>
  </si>
  <si>
    <t>Backend разработка</t>
  </si>
  <si>
    <t>Интеграция</t>
  </si>
  <si>
    <t>Unit тестове</t>
  </si>
  <si>
    <t>Интеграционни тестове</t>
  </si>
  <si>
    <t>User Acceptance Testing</t>
  </si>
  <si>
    <t>Deployment</t>
  </si>
  <si>
    <t>Документация</t>
  </si>
  <si>
    <t>Задача на критичния път</t>
  </si>
  <si>
    <t>TE (дни)</t>
  </si>
  <si>
    <t>σ (дни)</t>
  </si>
  <si>
    <t>σ² (дни²)</t>
  </si>
  <si>
    <t>2. Събиране на изисквания</t>
  </si>
  <si>
    <t>3. Създаване на спецификация</t>
  </si>
  <si>
    <t>4. Планиране на архитектурата</t>
  </si>
  <si>
    <t>7. Дизайн на база данни</t>
  </si>
  <si>
    <t>10. Backend разработка</t>
  </si>
  <si>
    <t>11. Интеграция</t>
  </si>
  <si>
    <t>13. Unit тестове</t>
  </si>
  <si>
    <t>14. Интеграционни тестове</t>
  </si>
  <si>
    <t>15. UAT</t>
  </si>
  <si>
    <t>17. Deployment</t>
  </si>
  <si>
    <t>18. Документация</t>
  </si>
  <si>
    <t>ОБЩО ЗА ПРОЕКТА:</t>
  </si>
  <si>
    <t>Целева дата (T)</t>
  </si>
  <si>
    <t>Z-score</t>
  </si>
  <si>
    <t>Вероятност за завършване</t>
  </si>
  <si>
    <t>Интерпретация</t>
  </si>
  <si>
    <t>35 дни</t>
  </si>
  <si>
    <t>Много малък шанс</t>
  </si>
  <si>
    <t>37 дни</t>
  </si>
  <si>
    <t>Рисково</t>
  </si>
  <si>
    <t>37.67 дни (очаквано)</t>
  </si>
  <si>
    <t>Средна вероятност</t>
  </si>
  <si>
    <t>40 дни</t>
  </si>
  <si>
    <t>Висок шанс</t>
  </si>
  <si>
    <t>42 дни</t>
  </si>
  <si>
    <t>Почти сигурно</t>
  </si>
  <si>
    <t>Метрика</t>
  </si>
  <si>
    <t>CPM (детерминистичен)</t>
  </si>
  <si>
    <t>PERT (вероятностен)</t>
  </si>
  <si>
    <t>Разлика</t>
  </si>
  <si>
    <t>Продължителност на проекта</t>
  </si>
  <si>
    <t>38 дни</t>
  </si>
  <si>
    <t>37.67 дни</t>
  </si>
  <si>
    <t>-0.33 дни</t>
  </si>
  <si>
    <t>Оценка на риска</t>
  </si>
  <si>
    <t>Не включва</t>
  </si>
  <si>
    <t>σ = 1.84 дни</t>
  </si>
  <si>
    <t>-</t>
  </si>
  <si>
    <t>Брой оценки за време</t>
  </si>
  <si>
    <t>1 (фиксирана)</t>
  </si>
  <si>
    <t>3 (O, M, P)</t>
  </si>
  <si>
    <t>Вероятност за успех в 38 дни</t>
  </si>
  <si>
    <t>100% (предполага 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</si>
</sst>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10" fontId="3" fillId="7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0" fontId="3" fillId="8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E3DB-1DED-4311-A586-E73B0F730FBD}">
  <dimension ref="A1:I15"/>
  <sheetViews>
    <sheetView topLeftCell="A6" workbookViewId="0">
      <selection activeCell="G3" sqref="G3:G15"/>
    </sheetView>
  </sheetViews>
  <sheetFormatPr defaultRowHeight="14.25" x14ac:dyDescent="0.45"/>
  <cols>
    <col min="3" max="3" width="19.19921875" customWidth="1"/>
    <col min="4" max="4" width="15.19921875" customWidth="1"/>
    <col min="5" max="5" width="21.3984375" customWidth="1"/>
    <col min="6" max="6" width="25.6640625" customWidth="1"/>
    <col min="7" max="7" width="19.19921875" customWidth="1"/>
    <col min="8" max="8" width="27.06640625" customWidth="1"/>
    <col min="9" max="9" width="30" customWidth="1"/>
  </cols>
  <sheetData>
    <row r="1" spans="1:9" ht="41.65" x14ac:dyDescent="0.45">
      <c r="A1" s="2" t="s">
        <v>0</v>
      </c>
      <c r="B1" s="2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2" t="s">
        <v>14</v>
      </c>
    </row>
    <row r="2" spans="1:9" ht="27.75" x14ac:dyDescent="0.45">
      <c r="A2" s="2"/>
      <c r="B2" s="2"/>
      <c r="C2" s="1" t="s">
        <v>3</v>
      </c>
      <c r="D2" s="1" t="s">
        <v>5</v>
      </c>
      <c r="E2" s="1" t="s">
        <v>7</v>
      </c>
      <c r="F2" s="1" t="s">
        <v>9</v>
      </c>
      <c r="G2" s="1" t="s">
        <v>11</v>
      </c>
      <c r="H2" s="1" t="s">
        <v>13</v>
      </c>
      <c r="I2" s="2"/>
    </row>
    <row r="3" spans="1:9" ht="55.5" x14ac:dyDescent="0.45">
      <c r="A3" s="4">
        <v>2</v>
      </c>
      <c r="B3" s="4" t="s">
        <v>15</v>
      </c>
      <c r="C3" s="4">
        <v>2</v>
      </c>
      <c r="D3" s="4">
        <v>3</v>
      </c>
      <c r="E3" s="4">
        <v>5</v>
      </c>
      <c r="F3" s="4">
        <f>(C3+4*D3+E3)/6</f>
        <v>3.1666666666666665</v>
      </c>
      <c r="G3" s="4">
        <f>(E3-C3)/6</f>
        <v>0.5</v>
      </c>
      <c r="H3" s="4">
        <v>0.25</v>
      </c>
      <c r="I3" s="4" t="s">
        <v>16</v>
      </c>
    </row>
    <row r="4" spans="1:9" ht="55.5" x14ac:dyDescent="0.45">
      <c r="A4" s="5">
        <v>3</v>
      </c>
      <c r="B4" s="5" t="s">
        <v>17</v>
      </c>
      <c r="C4" s="5">
        <v>1</v>
      </c>
      <c r="D4" s="5">
        <v>2</v>
      </c>
      <c r="E4" s="5">
        <v>4</v>
      </c>
      <c r="F4" s="4">
        <f t="shared" ref="F4:F15" si="0">(C4+4*D4+E4)/6</f>
        <v>2.1666666666666665</v>
      </c>
      <c r="G4" s="4">
        <f t="shared" ref="G4:G15" si="1">(E4-C4)/6</f>
        <v>0.5</v>
      </c>
      <c r="H4" s="5">
        <v>0.25</v>
      </c>
      <c r="I4" s="5" t="s">
        <v>16</v>
      </c>
    </row>
    <row r="5" spans="1:9" ht="55.5" x14ac:dyDescent="0.45">
      <c r="A5" s="4">
        <v>4</v>
      </c>
      <c r="B5" s="4" t="s">
        <v>18</v>
      </c>
      <c r="C5" s="4">
        <v>1</v>
      </c>
      <c r="D5" s="4">
        <v>2</v>
      </c>
      <c r="E5" s="4">
        <v>3</v>
      </c>
      <c r="F5" s="4">
        <f t="shared" si="0"/>
        <v>2</v>
      </c>
      <c r="G5" s="4">
        <f t="shared" si="1"/>
        <v>0.33333333333333331</v>
      </c>
      <c r="H5" s="4">
        <v>0.11</v>
      </c>
      <c r="I5" s="4" t="s">
        <v>16</v>
      </c>
    </row>
    <row r="6" spans="1:9" ht="27" x14ac:dyDescent="0.45">
      <c r="A6" s="6">
        <v>6</v>
      </c>
      <c r="B6" s="6" t="s">
        <v>19</v>
      </c>
      <c r="C6" s="6">
        <v>4</v>
      </c>
      <c r="D6" s="6">
        <v>5</v>
      </c>
      <c r="E6" s="6">
        <v>8</v>
      </c>
      <c r="F6" s="4">
        <f t="shared" si="0"/>
        <v>5.333333333333333</v>
      </c>
      <c r="G6" s="4">
        <f t="shared" si="1"/>
        <v>0.66666666666666663</v>
      </c>
      <c r="H6" s="6">
        <v>0.44</v>
      </c>
      <c r="I6" s="6" t="s">
        <v>20</v>
      </c>
    </row>
    <row r="7" spans="1:9" ht="41.65" x14ac:dyDescent="0.45">
      <c r="A7" s="4">
        <v>7</v>
      </c>
      <c r="B7" s="4" t="s">
        <v>21</v>
      </c>
      <c r="C7" s="4">
        <v>2</v>
      </c>
      <c r="D7" s="4">
        <v>3</v>
      </c>
      <c r="E7" s="4">
        <v>5</v>
      </c>
      <c r="F7" s="4">
        <f t="shared" si="0"/>
        <v>3.1666666666666665</v>
      </c>
      <c r="G7" s="4">
        <f t="shared" si="1"/>
        <v>0.5</v>
      </c>
      <c r="H7" s="4">
        <v>0.25</v>
      </c>
      <c r="I7" s="4" t="s">
        <v>16</v>
      </c>
    </row>
    <row r="8" spans="1:9" ht="40.5" x14ac:dyDescent="0.45">
      <c r="A8" s="6">
        <v>9</v>
      </c>
      <c r="B8" s="6" t="s">
        <v>22</v>
      </c>
      <c r="C8" s="6">
        <v>8</v>
      </c>
      <c r="D8" s="6">
        <v>10</v>
      </c>
      <c r="E8" s="6">
        <v>15</v>
      </c>
      <c r="F8" s="4">
        <f t="shared" si="0"/>
        <v>10.5</v>
      </c>
      <c r="G8" s="4">
        <f t="shared" si="1"/>
        <v>1.1666666666666667</v>
      </c>
      <c r="H8" s="6">
        <v>1.36</v>
      </c>
      <c r="I8" s="6" t="s">
        <v>20</v>
      </c>
    </row>
    <row r="9" spans="1:9" ht="41.65" x14ac:dyDescent="0.45">
      <c r="A9" s="4">
        <v>10</v>
      </c>
      <c r="B9" s="4" t="s">
        <v>23</v>
      </c>
      <c r="C9" s="4">
        <v>8</v>
      </c>
      <c r="D9" s="4">
        <v>10</v>
      </c>
      <c r="E9" s="4">
        <v>14</v>
      </c>
      <c r="F9" s="4">
        <f t="shared" si="0"/>
        <v>10.333333333333334</v>
      </c>
      <c r="G9" s="4">
        <f t="shared" si="1"/>
        <v>1</v>
      </c>
      <c r="H9" s="4">
        <v>1</v>
      </c>
      <c r="I9" s="4" t="s">
        <v>16</v>
      </c>
    </row>
    <row r="10" spans="1:9" ht="27.75" x14ac:dyDescent="0.45">
      <c r="A10" s="5">
        <v>11</v>
      </c>
      <c r="B10" s="5" t="s">
        <v>24</v>
      </c>
      <c r="C10" s="5">
        <v>2</v>
      </c>
      <c r="D10" s="5">
        <v>3</v>
      </c>
      <c r="E10" s="5">
        <v>5</v>
      </c>
      <c r="F10" s="4">
        <f t="shared" si="0"/>
        <v>3.1666666666666665</v>
      </c>
      <c r="G10" s="4">
        <f t="shared" si="1"/>
        <v>0.5</v>
      </c>
      <c r="H10" s="5">
        <v>0.25</v>
      </c>
      <c r="I10" s="5" t="s">
        <v>16</v>
      </c>
    </row>
    <row r="11" spans="1:9" ht="27.75" x14ac:dyDescent="0.45">
      <c r="A11" s="4">
        <v>13</v>
      </c>
      <c r="B11" s="4" t="s">
        <v>25</v>
      </c>
      <c r="C11" s="4">
        <v>2</v>
      </c>
      <c r="D11" s="4">
        <v>3</v>
      </c>
      <c r="E11" s="4">
        <v>5</v>
      </c>
      <c r="F11" s="4">
        <f t="shared" si="0"/>
        <v>3.1666666666666665</v>
      </c>
      <c r="G11" s="4">
        <f t="shared" si="1"/>
        <v>0.5</v>
      </c>
      <c r="H11" s="4">
        <v>0.25</v>
      </c>
      <c r="I11" s="4" t="s">
        <v>16</v>
      </c>
    </row>
    <row r="12" spans="1:9" ht="41.65" x14ac:dyDescent="0.45">
      <c r="A12" s="5">
        <v>14</v>
      </c>
      <c r="B12" s="5" t="s">
        <v>26</v>
      </c>
      <c r="C12" s="5">
        <v>2</v>
      </c>
      <c r="D12" s="5">
        <v>3</v>
      </c>
      <c r="E12" s="5">
        <v>5</v>
      </c>
      <c r="F12" s="4">
        <f t="shared" si="0"/>
        <v>3.1666666666666665</v>
      </c>
      <c r="G12" s="4">
        <f t="shared" si="1"/>
        <v>0.5</v>
      </c>
      <c r="H12" s="5">
        <v>0.25</v>
      </c>
      <c r="I12" s="5" t="s">
        <v>16</v>
      </c>
    </row>
    <row r="13" spans="1:9" ht="55.5" x14ac:dyDescent="0.45">
      <c r="A13" s="4">
        <v>15</v>
      </c>
      <c r="B13" s="4" t="s">
        <v>27</v>
      </c>
      <c r="C13" s="4">
        <v>1</v>
      </c>
      <c r="D13" s="4">
        <v>2</v>
      </c>
      <c r="E13" s="4">
        <v>4</v>
      </c>
      <c r="F13" s="4">
        <f t="shared" si="0"/>
        <v>2.1666666666666665</v>
      </c>
      <c r="G13" s="4">
        <f t="shared" si="1"/>
        <v>0.5</v>
      </c>
      <c r="H13" s="4">
        <v>0.25</v>
      </c>
      <c r="I13" s="4" t="s">
        <v>16</v>
      </c>
    </row>
    <row r="14" spans="1:9" ht="27.75" x14ac:dyDescent="0.45">
      <c r="A14" s="5">
        <v>17</v>
      </c>
      <c r="B14" s="5" t="s">
        <v>28</v>
      </c>
      <c r="C14" s="5">
        <v>1</v>
      </c>
      <c r="D14" s="5">
        <v>2</v>
      </c>
      <c r="E14" s="5">
        <v>3</v>
      </c>
      <c r="F14" s="4">
        <f t="shared" si="0"/>
        <v>2</v>
      </c>
      <c r="G14" s="4">
        <f t="shared" si="1"/>
        <v>0.33333333333333331</v>
      </c>
      <c r="H14" s="5">
        <v>0.11</v>
      </c>
      <c r="I14" s="5" t="s">
        <v>16</v>
      </c>
    </row>
    <row r="15" spans="1:9" ht="27.75" x14ac:dyDescent="0.45">
      <c r="A15" s="4">
        <v>18</v>
      </c>
      <c r="B15" s="4" t="s">
        <v>29</v>
      </c>
      <c r="C15" s="4">
        <v>2</v>
      </c>
      <c r="D15" s="4">
        <v>3</v>
      </c>
      <c r="E15" s="4">
        <v>5</v>
      </c>
      <c r="F15" s="4">
        <f t="shared" si="0"/>
        <v>3.1666666666666665</v>
      </c>
      <c r="G15" s="4">
        <f t="shared" si="1"/>
        <v>0.5</v>
      </c>
      <c r="H15" s="4">
        <v>0.25</v>
      </c>
      <c r="I15" s="4" t="s">
        <v>16</v>
      </c>
    </row>
  </sheetData>
  <mergeCells count="3">
    <mergeCell ref="A1:A2"/>
    <mergeCell ref="B1:B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66E1-B6D4-4E3B-BE9F-7219734A3047}">
  <dimension ref="A1:D13"/>
  <sheetViews>
    <sheetView topLeftCell="A4" workbookViewId="0">
      <selection activeCell="F11" sqref="F11"/>
    </sheetView>
  </sheetViews>
  <sheetFormatPr defaultRowHeight="14.25" x14ac:dyDescent="0.45"/>
  <cols>
    <col min="1" max="1" width="19.6640625" customWidth="1"/>
    <col min="2" max="2" width="15.265625" customWidth="1"/>
    <col min="3" max="3" width="14.19921875" customWidth="1"/>
    <col min="4" max="4" width="19.9296875" customWidth="1"/>
  </cols>
  <sheetData>
    <row r="1" spans="1:4" ht="55.5" x14ac:dyDescent="0.45">
      <c r="A1" s="1" t="s">
        <v>30</v>
      </c>
      <c r="B1" s="1" t="s">
        <v>31</v>
      </c>
      <c r="C1" s="1" t="s">
        <v>32</v>
      </c>
      <c r="D1" s="1" t="s">
        <v>33</v>
      </c>
    </row>
    <row r="2" spans="1:4" ht="67.5" x14ac:dyDescent="0.45">
      <c r="A2" s="7" t="s">
        <v>34</v>
      </c>
      <c r="B2" s="7">
        <v>3.17</v>
      </c>
      <c r="C2" s="7">
        <v>0.5</v>
      </c>
      <c r="D2" s="7">
        <v>0.25</v>
      </c>
    </row>
    <row r="3" spans="1:4" ht="67.5" x14ac:dyDescent="0.45">
      <c r="A3" s="6" t="s">
        <v>35</v>
      </c>
      <c r="B3" s="6">
        <v>2.17</v>
      </c>
      <c r="C3" s="6">
        <v>0.5</v>
      </c>
      <c r="D3" s="6">
        <v>0.25</v>
      </c>
    </row>
    <row r="4" spans="1:4" ht="67.5" x14ac:dyDescent="0.45">
      <c r="A4" s="7" t="s">
        <v>36</v>
      </c>
      <c r="B4" s="7">
        <v>2</v>
      </c>
      <c r="C4" s="7">
        <v>0.33</v>
      </c>
      <c r="D4" s="7">
        <v>0.11</v>
      </c>
    </row>
    <row r="5" spans="1:4" ht="54" x14ac:dyDescent="0.45">
      <c r="A5" s="6" t="s">
        <v>37</v>
      </c>
      <c r="B5" s="6">
        <v>3.17</v>
      </c>
      <c r="C5" s="6">
        <v>0.5</v>
      </c>
      <c r="D5" s="6">
        <v>0.25</v>
      </c>
    </row>
    <row r="6" spans="1:4" ht="54" x14ac:dyDescent="0.45">
      <c r="A6" s="7" t="s">
        <v>38</v>
      </c>
      <c r="B6" s="7">
        <v>10.33</v>
      </c>
      <c r="C6" s="7">
        <v>1</v>
      </c>
      <c r="D6" s="7">
        <v>1</v>
      </c>
    </row>
    <row r="7" spans="1:4" ht="40.5" x14ac:dyDescent="0.45">
      <c r="A7" s="6" t="s">
        <v>39</v>
      </c>
      <c r="B7" s="6">
        <v>3.17</v>
      </c>
      <c r="C7" s="6">
        <v>0.5</v>
      </c>
      <c r="D7" s="6">
        <v>0.25</v>
      </c>
    </row>
    <row r="8" spans="1:4" ht="27" x14ac:dyDescent="0.45">
      <c r="A8" s="7" t="s">
        <v>40</v>
      </c>
      <c r="B8" s="7">
        <v>3.17</v>
      </c>
      <c r="C8" s="7">
        <v>0.5</v>
      </c>
      <c r="D8" s="7">
        <v>0.25</v>
      </c>
    </row>
    <row r="9" spans="1:4" ht="54" x14ac:dyDescent="0.45">
      <c r="A9" s="6" t="s">
        <v>41</v>
      </c>
      <c r="B9" s="6">
        <v>3.17</v>
      </c>
      <c r="C9" s="6">
        <v>0.5</v>
      </c>
      <c r="D9" s="6">
        <v>0.25</v>
      </c>
    </row>
    <row r="10" spans="1:4" x14ac:dyDescent="0.45">
      <c r="A10" s="7" t="s">
        <v>42</v>
      </c>
      <c r="B10" s="7">
        <v>2.17</v>
      </c>
      <c r="C10" s="7">
        <v>0.5</v>
      </c>
      <c r="D10" s="7">
        <v>0.25</v>
      </c>
    </row>
    <row r="11" spans="1:4" ht="40.5" x14ac:dyDescent="0.45">
      <c r="A11" s="6" t="s">
        <v>43</v>
      </c>
      <c r="B11" s="6">
        <v>2</v>
      </c>
      <c r="C11" s="6">
        <v>0.33</v>
      </c>
      <c r="D11" s="6">
        <v>0.11</v>
      </c>
    </row>
    <row r="12" spans="1:4" ht="40.5" x14ac:dyDescent="0.45">
      <c r="A12" s="7" t="s">
        <v>44</v>
      </c>
      <c r="B12" s="7">
        <v>3.17</v>
      </c>
      <c r="C12" s="7">
        <v>0.5</v>
      </c>
      <c r="D12" s="7">
        <v>0.25</v>
      </c>
    </row>
    <row r="13" spans="1:4" ht="55.5" x14ac:dyDescent="0.45">
      <c r="A13" s="3" t="s">
        <v>45</v>
      </c>
      <c r="B13" s="3">
        <v>37.67</v>
      </c>
      <c r="C13" s="3">
        <v>1.84</v>
      </c>
      <c r="D13" s="3">
        <v>3.38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00D3-BF28-4715-B284-7EF653B3570F}">
  <dimension ref="A1:D6"/>
  <sheetViews>
    <sheetView workbookViewId="0">
      <selection activeCell="C9" sqref="C9"/>
    </sheetView>
  </sheetViews>
  <sheetFormatPr defaultRowHeight="14.25" x14ac:dyDescent="0.45"/>
  <cols>
    <col min="1" max="1" width="13.6640625" customWidth="1"/>
    <col min="2" max="2" width="14.46484375" customWidth="1"/>
    <col min="3" max="3" width="22.33203125" customWidth="1"/>
    <col min="4" max="4" width="29.265625" customWidth="1"/>
  </cols>
  <sheetData>
    <row r="1" spans="1:4" ht="55.5" x14ac:dyDescent="0.45">
      <c r="A1" s="1" t="s">
        <v>46</v>
      </c>
      <c r="B1" s="1" t="s">
        <v>47</v>
      </c>
      <c r="C1" s="1" t="s">
        <v>48</v>
      </c>
      <c r="D1" s="1" t="s">
        <v>49</v>
      </c>
    </row>
    <row r="2" spans="1:4" ht="40.5" x14ac:dyDescent="0.45">
      <c r="A2" s="7" t="s">
        <v>50</v>
      </c>
      <c r="B2" s="7">
        <v>-1.45</v>
      </c>
      <c r="C2" s="8">
        <f>_xlfn.NORM.S.DIST(B2,TRUE)</f>
        <v>7.3529259609648373E-2</v>
      </c>
      <c r="D2" s="7" t="s">
        <v>51</v>
      </c>
    </row>
    <row r="3" spans="1:4" x14ac:dyDescent="0.45">
      <c r="A3" s="6" t="s">
        <v>52</v>
      </c>
      <c r="B3" s="6">
        <v>-0.36</v>
      </c>
      <c r="C3" s="8">
        <f>_xlfn.NORM.S.DIST(B3,TRUE)</f>
        <v>0.35942356678200876</v>
      </c>
      <c r="D3" s="6" t="s">
        <v>53</v>
      </c>
    </row>
    <row r="4" spans="1:4" ht="27" x14ac:dyDescent="0.45">
      <c r="A4" s="10" t="s">
        <v>54</v>
      </c>
      <c r="B4" s="10">
        <v>0</v>
      </c>
      <c r="C4" s="8">
        <f>_xlfn.NORM.S.DIST(B4,TRUE)</f>
        <v>0.5</v>
      </c>
      <c r="D4" s="10" t="s">
        <v>55</v>
      </c>
    </row>
    <row r="5" spans="1:4" x14ac:dyDescent="0.45">
      <c r="A5" s="6" t="s">
        <v>56</v>
      </c>
      <c r="B5" s="6">
        <v>1.27</v>
      </c>
      <c r="C5" s="8">
        <f>_xlfn.NORM.S.DIST(B5,TRUE)</f>
        <v>0.89795768492518091</v>
      </c>
      <c r="D5" s="6" t="s">
        <v>57</v>
      </c>
    </row>
    <row r="6" spans="1:4" x14ac:dyDescent="0.45">
      <c r="A6" s="11" t="s">
        <v>58</v>
      </c>
      <c r="B6" s="11">
        <v>2.35</v>
      </c>
      <c r="C6" s="12">
        <f>_xlfn.NORM.S.DIST(B6,TRUE)</f>
        <v>0.99061329446516144</v>
      </c>
      <c r="D6" s="1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128B-16CE-48E3-965F-B020F0E0215E}">
  <dimension ref="A1:D5"/>
  <sheetViews>
    <sheetView tabSelected="1" workbookViewId="0">
      <selection activeCell="C9" sqref="C9"/>
    </sheetView>
  </sheetViews>
  <sheetFormatPr defaultRowHeight="14.25" x14ac:dyDescent="0.45"/>
  <cols>
    <col min="1" max="1" width="24.6640625" customWidth="1"/>
    <col min="2" max="2" width="23.6640625" customWidth="1"/>
    <col min="3" max="3" width="29.796875" customWidth="1"/>
    <col min="4" max="4" width="38.1328125" customWidth="1"/>
  </cols>
  <sheetData>
    <row r="1" spans="1:4" ht="55.5" x14ac:dyDescent="0.45">
      <c r="A1" s="1" t="s">
        <v>60</v>
      </c>
      <c r="B1" s="1" t="s">
        <v>61</v>
      </c>
      <c r="C1" s="1" t="s">
        <v>62</v>
      </c>
      <c r="D1" s="1" t="s">
        <v>63</v>
      </c>
    </row>
    <row r="2" spans="1:4" ht="54" x14ac:dyDescent="0.45">
      <c r="A2" s="7" t="s">
        <v>64</v>
      </c>
      <c r="B2" s="7" t="s">
        <v>65</v>
      </c>
      <c r="C2" s="7" t="s">
        <v>66</v>
      </c>
      <c r="D2" s="7" t="s">
        <v>67</v>
      </c>
    </row>
    <row r="3" spans="1:4" ht="27" x14ac:dyDescent="0.45">
      <c r="A3" s="6" t="s">
        <v>68</v>
      </c>
      <c r="B3" s="6" t="s">
        <v>69</v>
      </c>
      <c r="C3" s="6" t="s">
        <v>70</v>
      </c>
      <c r="D3" s="6" t="s">
        <v>71</v>
      </c>
    </row>
    <row r="4" spans="1:4" ht="40.5" x14ac:dyDescent="0.45">
      <c r="A4" s="7" t="s">
        <v>72</v>
      </c>
      <c r="B4" s="7" t="s">
        <v>73</v>
      </c>
      <c r="C4" s="7" t="s">
        <v>74</v>
      </c>
      <c r="D4" s="7" t="s">
        <v>71</v>
      </c>
    </row>
    <row r="5" spans="1:4" ht="54" x14ac:dyDescent="0.45">
      <c r="A5" s="6" t="s">
        <v>75</v>
      </c>
      <c r="B5" s="6" t="s">
        <v>76</v>
      </c>
      <c r="C5" s="9">
        <v>0.57399999999999995</v>
      </c>
      <c r="D5" s="9">
        <v>-0.42599999999999999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PERT Оценки </vt:lpstr>
      <vt:lpstr>Критичен Път</vt:lpstr>
      <vt:lpstr>Вероятности</vt:lpstr>
      <vt:lpstr>Сравнение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Красимир Иринков</dc:creator>
  <cp:lastModifiedBy>Красимир Иринков</cp:lastModifiedBy>
  <dcterms:created xsi:type="dcterms:W3CDTF">2026-01-04T00:18:25Z</dcterms:created>
  <dcterms:modified xsi:type="dcterms:W3CDTF">2026-01-05T21:10:26Z</dcterms:modified>
</cp:coreProperties>
</file>